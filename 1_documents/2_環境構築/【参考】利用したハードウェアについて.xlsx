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m00\Desktop\リモート\image_processing_python\1_documents\2_環境構築\"/>
    </mc:Choice>
  </mc:AlternateContent>
  <xr:revisionPtr revIDLastSave="0" documentId="13_ncr:1_{04F6038E-B19A-418B-88E0-6511FF7E87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ハード一覧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 l="1"/>
  <c r="F35" i="2" s="1"/>
  <c r="F36" i="2" s="1"/>
  <c r="C5" i="2" s="1"/>
</calcChain>
</file>

<file path=xl/sharedStrings.xml><?xml version="1.0" encoding="utf-8"?>
<sst xmlns="http://schemas.openxmlformats.org/spreadsheetml/2006/main" count="17" uniqueCount="16">
  <si>
    <t>税込合計</t>
    <rPh sb="0" eb="2">
      <t>ゼイコミ</t>
    </rPh>
    <rPh sb="2" eb="4">
      <t>ゴウケイ</t>
    </rPh>
    <phoneticPr fontId="4"/>
  </si>
  <si>
    <t>消費税</t>
    <rPh sb="0" eb="3">
      <t>ショウヒゼイ</t>
    </rPh>
    <phoneticPr fontId="4"/>
  </si>
  <si>
    <t>小計</t>
    <rPh sb="0" eb="2">
      <t>ショウケイ</t>
    </rPh>
    <phoneticPr fontId="4"/>
  </si>
  <si>
    <t>金額</t>
    <rPh sb="0" eb="2">
      <t>キンガク</t>
    </rPh>
    <phoneticPr fontId="4"/>
  </si>
  <si>
    <t>単価</t>
    <rPh sb="0" eb="2">
      <t>タンカ</t>
    </rPh>
    <phoneticPr fontId="4"/>
  </si>
  <si>
    <t>数量</t>
    <rPh sb="0" eb="2">
      <t>スウリョウ</t>
    </rPh>
    <phoneticPr fontId="4"/>
  </si>
  <si>
    <t>項目</t>
    <rPh sb="0" eb="2">
      <t>コウモク</t>
    </rPh>
    <phoneticPr fontId="4"/>
  </si>
  <si>
    <t>No.</t>
    <phoneticPr fontId="4"/>
  </si>
  <si>
    <t>（税込）</t>
    <rPh sb="1" eb="3">
      <t>ゼイコミ</t>
    </rPh>
    <phoneticPr fontId="4"/>
  </si>
  <si>
    <t>セミナーで使用したハードの一覧</t>
    <rPh sb="5" eb="7">
      <t>シヨウ</t>
    </rPh>
    <rPh sb="13" eb="15">
      <t>イチラン</t>
    </rPh>
    <phoneticPr fontId="4"/>
  </si>
  <si>
    <t>Raspberry Pi 5 16G</t>
    <phoneticPr fontId="3"/>
  </si>
  <si>
    <t>Piケース 公式 for Pi5 黒/灰[SC1160]</t>
    <phoneticPr fontId="3"/>
  </si>
  <si>
    <t>Piカメラ 公式 V3 可視光 [SC0872]</t>
    <phoneticPr fontId="3"/>
  </si>
  <si>
    <t>ACアダプター 5.1V/5.0A Type-C</t>
    <phoneticPr fontId="3"/>
  </si>
  <si>
    <t>HDMIケーブル[RASCBHDSC0051#]</t>
    <phoneticPr fontId="3"/>
  </si>
  <si>
    <t>＜備考＞
価格は2026年6月22日時点の情報なので参考まで。
ACアダプタは必ずType-Cで給電でき、5V/5Aのものを使用してください。
上記には含まれていませんが、必要に応じて
・記録メディア（USB推奨）
・キーボード、マウス、モニター（標準入出力機器、Raspberry Pi Connectを利用する場合不要）
なども購入しておくと良いと思います。</t>
    <rPh sb="1" eb="3">
      <t>ビコウ</t>
    </rPh>
    <rPh sb="6" eb="8">
      <t>カカク</t>
    </rPh>
    <rPh sb="13" eb="14">
      <t>ネン</t>
    </rPh>
    <rPh sb="15" eb="16">
      <t>ガツ</t>
    </rPh>
    <rPh sb="18" eb="19">
      <t>ニチ</t>
    </rPh>
    <rPh sb="19" eb="21">
      <t>ジテン</t>
    </rPh>
    <rPh sb="22" eb="24">
      <t>ジョウホウ</t>
    </rPh>
    <rPh sb="27" eb="29">
      <t>サンコウ</t>
    </rPh>
    <rPh sb="40" eb="41">
      <t>カナラ</t>
    </rPh>
    <rPh sb="49" eb="51">
      <t>キュウデン</t>
    </rPh>
    <rPh sb="63" eb="65">
      <t>シヨウ</t>
    </rPh>
    <rPh sb="74" eb="76">
      <t>ジョウキ</t>
    </rPh>
    <rPh sb="78" eb="79">
      <t>フク</t>
    </rPh>
    <rPh sb="88" eb="90">
      <t>ヒツヨウ</t>
    </rPh>
    <rPh sb="91" eb="92">
      <t>オウ</t>
    </rPh>
    <rPh sb="96" eb="98">
      <t>キロク</t>
    </rPh>
    <rPh sb="106" eb="108">
      <t>スイショウ</t>
    </rPh>
    <rPh sb="126" eb="131">
      <t>ヒョウジュンニュウシュツリョク</t>
    </rPh>
    <rPh sb="131" eb="133">
      <t>キキ</t>
    </rPh>
    <rPh sb="155" eb="157">
      <t>リヨウ</t>
    </rPh>
    <rPh sb="159" eb="161">
      <t>バアイ</t>
    </rPh>
    <rPh sb="161" eb="163">
      <t>フヨウ</t>
    </rPh>
    <rPh sb="168" eb="170">
      <t>コウニュウ</t>
    </rPh>
    <rPh sb="175" eb="176">
      <t>ヨ</t>
    </rPh>
    <rPh sb="178" eb="179">
      <t>オモ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</si>
</sst>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5" formatCode="&quot;¥&quot;#,##0;&quot;¥&quot;\-#,##0"/>
  </numFmts>
  <fonts count="10">
    <font>
      <sz val="11"/>
      <color theme="1"/>
      <name val="Yu Gothic"/>
      <family val="2"/>
      <scheme val="minor"/>
    </font>
    <font>
      <sz val="10"/>
      <color theme="1"/>
      <name val="Meiryo UI"/>
      <family val="2"/>
      <charset val="128"/>
    </font>
    <font>
      <sz val="10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6"/>
      <name val="Meiryo UI"/>
      <family val="2"/>
      <charset val="128"/>
    </font>
    <font>
      <b/>
      <sz val="10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0" borderId="0" xfId="1" applyFont="1">
      <alignment vertical="center"/>
    </xf>
    <xf numFmtId="0" fontId="2" fillId="0" borderId="1" xfId="1" applyFont="1" applyBorder="1" applyAlignment="1">
      <alignment vertical="top"/>
    </xf>
    <xf numFmtId="0" fontId="2" fillId="0" borderId="2" xfId="1" applyFont="1" applyBorder="1" applyAlignment="1">
      <alignment vertical="top"/>
    </xf>
    <xf numFmtId="0" fontId="2" fillId="0" borderId="3" xfId="1" applyFont="1" applyBorder="1" applyAlignment="1">
      <alignment vertical="top"/>
    </xf>
    <xf numFmtId="0" fontId="2" fillId="0" borderId="4" xfId="1" applyFont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5" xfId="1" applyFont="1" applyBorder="1" applyAlignment="1">
      <alignment vertical="top"/>
    </xf>
    <xf numFmtId="0" fontId="2" fillId="0" borderId="6" xfId="1" applyFont="1" applyBorder="1" applyAlignment="1">
      <alignment vertical="top"/>
    </xf>
    <xf numFmtId="0" fontId="2" fillId="0" borderId="7" xfId="1" applyFont="1" applyBorder="1" applyAlignment="1">
      <alignment vertical="top"/>
    </xf>
    <xf numFmtId="5" fontId="2" fillId="0" borderId="9" xfId="1" applyNumberFormat="1" applyFont="1" applyBorder="1">
      <alignment vertical="center"/>
    </xf>
    <xf numFmtId="0" fontId="2" fillId="2" borderId="10" xfId="1" applyFont="1" applyFill="1" applyBorder="1">
      <alignment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1" xfId="1" applyFont="1" applyBorder="1">
      <alignment vertical="center"/>
    </xf>
    <xf numFmtId="0" fontId="2" fillId="2" borderId="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12" xfId="1" applyFont="1" applyBorder="1">
      <alignment vertical="center"/>
    </xf>
    <xf numFmtId="0" fontId="2" fillId="2" borderId="5" xfId="1" applyFont="1" applyFill="1" applyBorder="1">
      <alignment vertical="center"/>
    </xf>
    <xf numFmtId="0" fontId="2" fillId="0" borderId="8" xfId="1" applyFont="1" applyBorder="1">
      <alignment vertical="center"/>
    </xf>
    <xf numFmtId="0" fontId="2" fillId="0" borderId="7" xfId="1" applyFont="1" applyBorder="1" applyAlignment="1">
      <alignment horizontal="left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0" xfId="1" applyFont="1" applyFill="1">
      <alignment vertical="center"/>
    </xf>
    <xf numFmtId="0" fontId="2" fillId="0" borderId="13" xfId="1" applyFont="1" applyBorder="1" applyAlignment="1">
      <alignment horizontal="center" vertical="center"/>
    </xf>
    <xf numFmtId="5" fontId="6" fillId="0" borderId="13" xfId="1" applyNumberFormat="1" applyFont="1" applyBorder="1" applyAlignment="1">
      <alignment horizontal="right" vertical="center"/>
    </xf>
    <xf numFmtId="0" fontId="2" fillId="0" borderId="13" xfId="1" applyFont="1" applyBorder="1">
      <alignment vertical="center"/>
    </xf>
    <xf numFmtId="0" fontId="2" fillId="0" borderId="0" xfId="1" applyFont="1" applyAlignment="1">
      <alignment horizontal="center" vertical="center"/>
    </xf>
    <xf numFmtId="5" fontId="6" fillId="0" borderId="0" xfId="1" applyNumberFormat="1" applyFont="1" applyAlignment="1">
      <alignment horizontal="right" vertical="center"/>
    </xf>
    <xf numFmtId="0" fontId="2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8" fillId="0" borderId="0" xfId="1" applyFont="1" applyAlignment="1">
      <alignment vertical="center"/>
    </xf>
    <xf numFmtId="3" fontId="2" fillId="0" borderId="8" xfId="1" applyNumberFormat="1" applyFont="1" applyBorder="1">
      <alignment vertical="center"/>
    </xf>
    <xf numFmtId="0" fontId="2" fillId="0" borderId="8" xfId="1" applyFont="1" applyBorder="1" applyAlignment="1">
      <alignment vertical="top" wrapText="1"/>
    </xf>
  </cellXfs>
  <cellStyles count="2">
    <cellStyle name="標準" xfId="0" builtinId="0"/>
    <cellStyle name="標準 2" xfId="1" xr:uid="{3928E127-7D97-4E86-8433-0BABC85519E9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テーブル スタイル 1" pivot="0" count="0" xr9:uid="{4C33F7D9-8F23-4F90-8B5D-62AE5C9CF5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FC8A9-F03D-46FB-BEED-8D1B62E9D598}" name="テーブル9" displayName="テーブル9" ref="B8:F33" totalsRowShown="0" headerRowDxfId="7" dataDxfId="6" tableBorderDxfId="5">
  <autoFilter ref="B8:F33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o." dataDxfId="4"/>
    <tableColumn id="2" xr3:uid="{00000000-0010-0000-0000-000002000000}" name="項目" dataDxfId="3"/>
    <tableColumn id="3" xr3:uid="{00000000-0010-0000-0000-000003000000}" name="数量" dataDxfId="2"/>
    <tableColumn id="4" xr3:uid="{00000000-0010-0000-0000-000004000000}" name="単価" dataDxfId="1"/>
    <tableColumn id="5" xr3:uid="{00000000-0010-0000-0000-000005000000}" name="金額" dataDxfId="0">
      <calculatedColumnFormula>D9*E9</calculatedColumnFormula>
    </tableColumn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9A61-E0F3-4DF6-82B8-74079F33B30D}">
  <dimension ref="B1:F46"/>
  <sheetViews>
    <sheetView showGridLines="0" tabSelected="1" view="pageBreakPreview" zoomScale="160" zoomScaleNormal="160" zoomScaleSheetLayoutView="160" workbookViewId="0">
      <selection activeCell="E15" sqref="E15"/>
    </sheetView>
  </sheetViews>
  <sheetFormatPr defaultColWidth="9.8984375" defaultRowHeight="12"/>
  <cols>
    <col min="1" max="1" width="3.8984375" style="1" customWidth="1"/>
    <col min="2" max="2" width="8.296875" style="1" customWidth="1"/>
    <col min="3" max="3" width="29.69921875" style="1" customWidth="1"/>
    <col min="4" max="4" width="6.8984375" style="1" customWidth="1"/>
    <col min="5" max="5" width="8.296875" style="1" customWidth="1"/>
    <col min="6" max="6" width="29.5" style="1" customWidth="1"/>
    <col min="7" max="16384" width="9.8984375" style="1"/>
  </cols>
  <sheetData>
    <row r="1" spans="2:6" ht="12" customHeight="1">
      <c r="B1" s="32"/>
      <c r="C1" s="32"/>
      <c r="D1" s="32"/>
    </row>
    <row r="2" spans="2:6" ht="23.4">
      <c r="B2" s="33" t="s">
        <v>9</v>
      </c>
      <c r="C2" s="33"/>
      <c r="D2" s="32"/>
      <c r="E2" s="31"/>
    </row>
    <row r="3" spans="2:6" ht="19.2">
      <c r="D3" s="30"/>
      <c r="E3" s="30"/>
    </row>
    <row r="5" spans="2:6" ht="14.25" customHeight="1">
      <c r="B5" s="29" t="s">
        <v>3</v>
      </c>
      <c r="C5" s="28">
        <f>F36</f>
        <v>77403.7</v>
      </c>
      <c r="D5" s="27" t="s">
        <v>8</v>
      </c>
    </row>
    <row r="6" spans="2:6" ht="12.6" thickBot="1">
      <c r="B6" s="26"/>
      <c r="C6" s="25"/>
      <c r="D6" s="24"/>
    </row>
    <row r="7" spans="2:6" ht="12.6" thickTop="1"/>
    <row r="8" spans="2:6">
      <c r="B8" s="23" t="s">
        <v>7</v>
      </c>
      <c r="C8" s="22" t="s">
        <v>6</v>
      </c>
      <c r="D8" s="22" t="s">
        <v>5</v>
      </c>
      <c r="E8" s="22" t="s">
        <v>4</v>
      </c>
      <c r="F8" s="22" t="s">
        <v>3</v>
      </c>
    </row>
    <row r="9" spans="2:6">
      <c r="B9" s="21">
        <v>1</v>
      </c>
      <c r="C9" s="20" t="s">
        <v>10</v>
      </c>
      <c r="D9" s="20">
        <v>1</v>
      </c>
      <c r="E9" s="34">
        <v>60390</v>
      </c>
      <c r="F9" s="20">
        <f>D9*E9</f>
        <v>60390</v>
      </c>
    </row>
    <row r="10" spans="2:6">
      <c r="B10" s="21">
        <v>2</v>
      </c>
      <c r="C10" s="20" t="s">
        <v>11</v>
      </c>
      <c r="D10" s="20">
        <v>1</v>
      </c>
      <c r="E10" s="20">
        <v>1870</v>
      </c>
      <c r="F10" s="20">
        <f>D10*E10</f>
        <v>1870</v>
      </c>
    </row>
    <row r="11" spans="2:6">
      <c r="B11" s="21">
        <v>3</v>
      </c>
      <c r="C11" s="20" t="s">
        <v>12</v>
      </c>
      <c r="D11" s="20">
        <v>1</v>
      </c>
      <c r="E11" s="20">
        <v>4950</v>
      </c>
      <c r="F11" s="20">
        <f>D11*E11</f>
        <v>4950</v>
      </c>
    </row>
    <row r="12" spans="2:6">
      <c r="B12" s="21">
        <v>4</v>
      </c>
      <c r="C12" s="20" t="s">
        <v>13</v>
      </c>
      <c r="D12" s="20">
        <v>1</v>
      </c>
      <c r="E12" s="20">
        <v>2387</v>
      </c>
      <c r="F12" s="20">
        <f>D12*E12</f>
        <v>2387</v>
      </c>
    </row>
    <row r="13" spans="2:6">
      <c r="B13" s="21">
        <v>5</v>
      </c>
      <c r="C13" s="20" t="s">
        <v>14</v>
      </c>
      <c r="D13" s="20">
        <v>1</v>
      </c>
      <c r="E13" s="20">
        <v>770</v>
      </c>
      <c r="F13" s="20">
        <f>D13*E13</f>
        <v>770</v>
      </c>
    </row>
    <row r="14" spans="2:6">
      <c r="B14" s="21"/>
      <c r="C14" s="20"/>
      <c r="D14" s="20"/>
      <c r="E14" s="20"/>
      <c r="F14" s="20">
        <f>D14*E14</f>
        <v>0</v>
      </c>
    </row>
    <row r="15" spans="2:6">
      <c r="B15" s="21"/>
      <c r="C15" s="20"/>
      <c r="D15" s="20"/>
      <c r="E15" s="20"/>
      <c r="F15" s="20">
        <f>D15*E15</f>
        <v>0</v>
      </c>
    </row>
    <row r="16" spans="2:6">
      <c r="B16" s="21"/>
      <c r="C16" s="20"/>
      <c r="D16" s="20"/>
      <c r="E16" s="20"/>
      <c r="F16" s="20">
        <f>D16*E16</f>
        <v>0</v>
      </c>
    </row>
    <row r="17" spans="2:6">
      <c r="B17" s="21"/>
      <c r="C17" s="20"/>
      <c r="D17" s="20"/>
      <c r="E17" s="20"/>
      <c r="F17" s="20">
        <f>D17*E17</f>
        <v>0</v>
      </c>
    </row>
    <row r="18" spans="2:6">
      <c r="B18" s="21"/>
      <c r="C18" s="20"/>
      <c r="D18" s="20"/>
      <c r="E18" s="20"/>
      <c r="F18" s="20">
        <f>D18*E18</f>
        <v>0</v>
      </c>
    </row>
    <row r="19" spans="2:6">
      <c r="B19" s="21"/>
      <c r="C19" s="20"/>
      <c r="D19" s="20"/>
      <c r="E19" s="20"/>
      <c r="F19" s="20">
        <f>D19*E19</f>
        <v>0</v>
      </c>
    </row>
    <row r="20" spans="2:6">
      <c r="B20" s="21"/>
      <c r="C20" s="20"/>
      <c r="D20" s="20"/>
      <c r="E20" s="20"/>
      <c r="F20" s="20">
        <f>D20*E20</f>
        <v>0</v>
      </c>
    </row>
    <row r="21" spans="2:6">
      <c r="B21" s="21"/>
      <c r="C21" s="20"/>
      <c r="D21" s="20"/>
      <c r="E21" s="20"/>
      <c r="F21" s="20">
        <f>D21*E21</f>
        <v>0</v>
      </c>
    </row>
    <row r="22" spans="2:6">
      <c r="B22" s="21"/>
      <c r="C22" s="20"/>
      <c r="D22" s="20"/>
      <c r="E22" s="20"/>
      <c r="F22" s="20">
        <f>D22*E22</f>
        <v>0</v>
      </c>
    </row>
    <row r="23" spans="2:6">
      <c r="B23" s="21"/>
      <c r="C23" s="20"/>
      <c r="D23" s="20"/>
      <c r="E23" s="20"/>
      <c r="F23" s="20">
        <f>D23*E23</f>
        <v>0</v>
      </c>
    </row>
    <row r="24" spans="2:6">
      <c r="B24" s="21"/>
      <c r="C24" s="20"/>
      <c r="D24" s="20"/>
      <c r="E24" s="20"/>
      <c r="F24" s="20">
        <f>D24*E24</f>
        <v>0</v>
      </c>
    </row>
    <row r="25" spans="2:6">
      <c r="B25" s="21"/>
      <c r="C25" s="20"/>
      <c r="D25" s="20"/>
      <c r="E25" s="20"/>
      <c r="F25" s="20">
        <f>D25*E25</f>
        <v>0</v>
      </c>
    </row>
    <row r="26" spans="2:6">
      <c r="B26" s="21"/>
      <c r="C26" s="20"/>
      <c r="D26" s="20"/>
      <c r="E26" s="20"/>
      <c r="F26" s="20">
        <f>D26*E26</f>
        <v>0</v>
      </c>
    </row>
    <row r="27" spans="2:6">
      <c r="B27" s="21"/>
      <c r="C27" s="20"/>
      <c r="D27" s="20"/>
      <c r="E27" s="20"/>
      <c r="F27" s="20">
        <f>D27*E27</f>
        <v>0</v>
      </c>
    </row>
    <row r="28" spans="2:6">
      <c r="B28" s="21"/>
      <c r="C28" s="20"/>
      <c r="D28" s="20"/>
      <c r="E28" s="20"/>
      <c r="F28" s="20">
        <f>D28*E28</f>
        <v>0</v>
      </c>
    </row>
    <row r="29" spans="2:6">
      <c r="B29" s="21"/>
      <c r="C29" s="20"/>
      <c r="D29" s="20"/>
      <c r="E29" s="20"/>
      <c r="F29" s="20">
        <f>D29*E29</f>
        <v>0</v>
      </c>
    </row>
    <row r="30" spans="2:6">
      <c r="B30" s="21"/>
      <c r="C30" s="20"/>
      <c r="D30" s="20"/>
      <c r="E30" s="20"/>
      <c r="F30" s="20">
        <f>D30*E30</f>
        <v>0</v>
      </c>
    </row>
    <row r="31" spans="2:6">
      <c r="B31" s="21"/>
      <c r="C31" s="20"/>
      <c r="D31" s="20"/>
      <c r="E31" s="20"/>
      <c r="F31" s="20">
        <f>D31*E31</f>
        <v>0</v>
      </c>
    </row>
    <row r="32" spans="2:6">
      <c r="B32" s="21"/>
      <c r="C32" s="20"/>
      <c r="D32" s="20"/>
      <c r="E32" s="20"/>
      <c r="F32" s="20">
        <f>D32*E32</f>
        <v>0</v>
      </c>
    </row>
    <row r="33" spans="2:6">
      <c r="B33" s="21"/>
      <c r="C33" s="20"/>
      <c r="D33" s="20"/>
      <c r="E33" s="20"/>
      <c r="F33" s="20">
        <f>D33*E33</f>
        <v>0</v>
      </c>
    </row>
    <row r="34" spans="2:6">
      <c r="B34" s="17"/>
      <c r="C34" s="16"/>
      <c r="D34" s="16"/>
      <c r="E34" s="19" t="s">
        <v>2</v>
      </c>
      <c r="F34" s="18">
        <f>SUM(F9:F33)</f>
        <v>70367</v>
      </c>
    </row>
    <row r="35" spans="2:6" ht="12" customHeight="1">
      <c r="B35" s="17"/>
      <c r="C35" s="16"/>
      <c r="D35" s="16"/>
      <c r="E35" s="15" t="s">
        <v>1</v>
      </c>
      <c r="F35" s="14">
        <f>F34*0.1</f>
        <v>7036.7000000000007</v>
      </c>
    </row>
    <row r="36" spans="2:6" ht="20.100000000000001" customHeight="1">
      <c r="B36" s="13"/>
      <c r="C36" s="12"/>
      <c r="D36" s="12"/>
      <c r="E36" s="11" t="s">
        <v>0</v>
      </c>
      <c r="F36" s="10">
        <f>SUM(F34:F35)</f>
        <v>77403.7</v>
      </c>
    </row>
    <row r="37" spans="2:6">
      <c r="B37" s="35" t="s">
        <v>15</v>
      </c>
      <c r="C37" s="9"/>
      <c r="D37" s="9"/>
      <c r="E37" s="9"/>
      <c r="F37" s="8"/>
    </row>
    <row r="38" spans="2:6">
      <c r="B38" s="7"/>
      <c r="C38" s="6"/>
      <c r="D38" s="6"/>
      <c r="E38" s="6"/>
      <c r="F38" s="5"/>
    </row>
    <row r="39" spans="2:6">
      <c r="B39" s="7"/>
      <c r="C39" s="6"/>
      <c r="D39" s="6"/>
      <c r="E39" s="6"/>
      <c r="F39" s="5"/>
    </row>
    <row r="40" spans="2:6">
      <c r="B40" s="7"/>
      <c r="C40" s="6"/>
      <c r="D40" s="6"/>
      <c r="E40" s="6"/>
      <c r="F40" s="5"/>
    </row>
    <row r="41" spans="2:6">
      <c r="B41" s="7"/>
      <c r="C41" s="6"/>
      <c r="D41" s="6"/>
      <c r="E41" s="6"/>
      <c r="F41" s="5"/>
    </row>
    <row r="42" spans="2:6">
      <c r="B42" s="7"/>
      <c r="C42" s="6"/>
      <c r="D42" s="6"/>
      <c r="E42" s="6"/>
      <c r="F42" s="5"/>
    </row>
    <row r="43" spans="2:6">
      <c r="B43" s="7"/>
      <c r="C43" s="6"/>
      <c r="D43" s="6"/>
      <c r="E43" s="6"/>
      <c r="F43" s="5"/>
    </row>
    <row r="44" spans="2:6">
      <c r="B44" s="7"/>
      <c r="C44" s="6"/>
      <c r="D44" s="6"/>
      <c r="E44" s="6"/>
      <c r="F44" s="5"/>
    </row>
    <row r="45" spans="2:6">
      <c r="B45" s="7"/>
      <c r="C45" s="6"/>
      <c r="D45" s="6"/>
      <c r="E45" s="6"/>
      <c r="F45" s="5"/>
    </row>
    <row r="46" spans="2:6">
      <c r="B46" s="4"/>
      <c r="C46" s="3"/>
      <c r="D46" s="3"/>
      <c r="E46" s="3"/>
      <c r="F46" s="2"/>
    </row>
  </sheetData>
  <mergeCells count="4">
    <mergeCell ref="D5:D6"/>
    <mergeCell ref="B37:F46"/>
    <mergeCell ref="C5:C6"/>
    <mergeCell ref="B5:B6"/>
  </mergeCells>
  <phoneticPr fontId="3"/>
  <pageMargins left="0.7" right="0.7" top="0.75" bottom="0.75" header="0.3" footer="0.3"/>
  <pageSetup paperSize="9" scale="9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ハード一覧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sem00</dc:creator>
  <cp:lastModifiedBy>sem00</cp:lastModifiedBy>
  <dcterms:created xsi:type="dcterms:W3CDTF">2015-06-05T18:19:34Z</dcterms:created>
  <dcterms:modified xsi:type="dcterms:W3CDTF">2026-06-22T06:30:35Z</dcterms:modified>
</cp:coreProperties>
</file>